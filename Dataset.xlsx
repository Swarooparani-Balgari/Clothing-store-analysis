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"/>
    </mc:Choice>
  </mc:AlternateContent>
  <xr:revisionPtr revIDLastSave="0" documentId="13_ncr:1_{2A1A2E50-B913-4B6C-B86B-DB93C72CF9DC}" xr6:coauthVersionLast="47" xr6:coauthVersionMax="47" xr10:uidLastSave="{00000000-0000-0000-0000-000000000000}"/>
  <bookViews>
    <workbookView xWindow="-108" yWindow="-108" windowWidth="23256" windowHeight="12456" tabRatio="722" firstSheet="4" activeTab="7" xr2:uid="{A33A2A8B-2657-42D4-B7F3-E13126C4C764}"/>
  </bookViews>
  <sheets>
    <sheet name="Revenue by Category" sheetId="2" r:id="rId1"/>
    <sheet name="Revenue by Product" sheetId="5" r:id="rId2"/>
    <sheet name="Revenue by City" sheetId="3" r:id="rId3"/>
    <sheet name="Revenue by Customer Type" sheetId="4" r:id="rId4"/>
    <sheet name="Product by Quantity" sheetId="6" r:id="rId5"/>
    <sheet name="City by Quantity" sheetId="7" r:id="rId6"/>
    <sheet name="Revenue by Order Date" sheetId="8" r:id="rId7"/>
    <sheet name="Dataset" sheetId="1" r:id="rId8"/>
  </sheets>
  <calcPr calcId="191029"/>
  <pivotCaches>
    <pivotCache cacheId="0" r:id="rId9"/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8" l="1"/>
  <c r="M3" i="1"/>
  <c r="M4" i="1"/>
  <c r="M5" i="1"/>
  <c r="M6" i="1"/>
  <c r="M7" i="1"/>
  <c r="M8" i="1"/>
  <c r="M9" i="1"/>
  <c r="M10" i="1"/>
  <c r="M11" i="1"/>
  <c r="M2" i="1"/>
  <c r="B14" i="6"/>
  <c r="B12" i="7" a="1"/>
  <c r="B12" i="7" s="1"/>
  <c r="B14" i="5"/>
  <c r="B9" i="4"/>
  <c r="B11" i="3"/>
  <c r="B10" i="2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<sst xmlns="http://schemas.openxmlformats.org/spreadsheetml/2006/main" count="108" uniqueCount="41">
  <si>
    <t>OrderID</t>
  </si>
  <si>
    <t>OrderDate</t>
  </si>
  <si>
    <t>City</t>
  </si>
  <si>
    <t>Category</t>
  </si>
  <si>
    <t>Product</t>
  </si>
  <si>
    <t>Quantity</t>
  </si>
  <si>
    <t>Price</t>
  </si>
  <si>
    <t>DiscountPercent</t>
  </si>
  <si>
    <t>CustomerType</t>
  </si>
  <si>
    <t>Delhi</t>
  </si>
  <si>
    <t>Men</t>
  </si>
  <si>
    <t>T-Shirt</t>
  </si>
  <si>
    <t>New</t>
  </si>
  <si>
    <t>Mumbai</t>
  </si>
  <si>
    <t>Women</t>
  </si>
  <si>
    <t>Dress</t>
  </si>
  <si>
    <t>Returning</t>
  </si>
  <si>
    <t>Bangalore</t>
  </si>
  <si>
    <t>Jeans</t>
  </si>
  <si>
    <t>Kids</t>
  </si>
  <si>
    <t>Shorts</t>
  </si>
  <si>
    <t>Hyderabad</t>
  </si>
  <si>
    <t>Top</t>
  </si>
  <si>
    <t>Shirt</t>
  </si>
  <si>
    <t>Skirt</t>
  </si>
  <si>
    <t>Revenue</t>
  </si>
  <si>
    <t>DiscountAmount</t>
  </si>
  <si>
    <t>FinalPrice</t>
  </si>
  <si>
    <t>Grand Total</t>
  </si>
  <si>
    <t>Sum of Revenue</t>
  </si>
  <si>
    <t>Category which earns most revenue</t>
  </si>
  <si>
    <t>City which has lowest revenue</t>
  </si>
  <si>
    <t>Customer Type</t>
  </si>
  <si>
    <t>Average of Revenue</t>
  </si>
  <si>
    <t>Product which has highest revenue</t>
  </si>
  <si>
    <t>Sum of Quantity</t>
  </si>
  <si>
    <t>Product which has less quantity</t>
  </si>
  <si>
    <t>City which has less quantity of Sales</t>
  </si>
  <si>
    <t>Without Discount</t>
  </si>
  <si>
    <t>Order Date</t>
  </si>
  <si>
    <t>Date which has most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</si>
</sst>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4" fontId="0" fillId="0" borderId="0" xfId="0" pivotButton="1" applyNumberFormat="1" applyAlignment="1">
      <alignment horizontal="center"/>
    </xf>
  </cellXfs>
  <cellStyles count="1">
    <cellStyle name="Normal" xfId="0" builtinId="0"/>
  </cellStyles>
  <dxfs count="46">
    <dxf>
      <numFmt numFmtId="19" formatCode="dd/mm/yyyy"/>
    </dxf>
    <dxf>
      <numFmt numFmtId="19" formatCode="dd/mm/yyyy"/>
    </dxf>
    <dxf>
      <numFmt numFmtId="19" formatCode="dd/mm/yyyy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9.xlsx]Revenue by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solidFill>
              <a:schemeClr val="tx1"/>
            </a:solidFill>
          </a:ln>
          <a:effectLst/>
        </c:spPr>
      </c:pivotFmt>
      <c:pivotFmt>
        <c:idx val="2"/>
        <c:spPr>
          <a:solidFill>
            <a:schemeClr val="accent6">
              <a:lumMod val="50000"/>
            </a:schemeClr>
          </a:solidFill>
          <a:ln>
            <a:solidFill>
              <a:schemeClr val="tx1"/>
            </a:solidFill>
          </a:ln>
          <a:effectLst/>
        </c:spPr>
      </c:pivotFmt>
      <c:pivotFmt>
        <c:idx val="3"/>
        <c:spPr>
          <a:solidFill>
            <a:schemeClr val="accent6">
              <a:lumMod val="50000"/>
            </a:schemeClr>
          </a:solidFill>
          <a:ln>
            <a:solidFill>
              <a:schemeClr val="tx1"/>
            </a:solidFill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'Revenue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874-4483-8E51-3A8CAAFD0EC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74-4483-8E51-3A8CAAFD0EC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874-4483-8E51-3A8CAAFD0EC8}"/>
              </c:ext>
            </c:extLst>
          </c:dPt>
          <c:cat>
            <c:strRef>
              <c:f>'Revenue by Category'!$A$4:$A$7</c:f>
              <c:strCache>
                <c:ptCount val="3"/>
                <c:pt idx="0">
                  <c:v>Kids</c:v>
                </c:pt>
                <c:pt idx="1">
                  <c:v>Men</c:v>
                </c:pt>
                <c:pt idx="2">
                  <c:v>Women</c:v>
                </c:pt>
              </c:strCache>
            </c:strRef>
          </c:cat>
          <c:val>
            <c:numRef>
              <c:f>'Revenue by Category'!$B$4:$B$7</c:f>
              <c:numCache>
                <c:formatCode>"₹"\ #,##0.00</c:formatCode>
                <c:ptCount val="3"/>
                <c:pt idx="0">
                  <c:v>2565</c:v>
                </c:pt>
                <c:pt idx="1">
                  <c:v>5920</c:v>
                </c:pt>
                <c:pt idx="2">
                  <c:v>6205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4-4483-8E51-3A8CAAFD0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87610112"/>
        <c:axId val="187626912"/>
      </c:barChart>
      <c:catAx>
        <c:axId val="18761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26912"/>
        <c:crosses val="autoZero"/>
        <c:auto val="1"/>
        <c:lblAlgn val="ctr"/>
        <c:lblOffset val="100"/>
        <c:noMultiLvlLbl val="0"/>
      </c:catAx>
      <c:valAx>
        <c:axId val="18762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1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75000"/>
        <a:alpha val="88000"/>
      </a:schemeClr>
    </a:solidFill>
    <a:ln w="9525" cap="flat" cmpd="sng" algn="ctr">
      <a:solidFill>
        <a:schemeClr val="tx1"/>
      </a:solidFill>
      <a:round/>
    </a:ln>
    <a:effectLst>
      <a:glow rad="127000">
        <a:schemeClr val="bg1"/>
      </a:glow>
    </a:effectLst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9.xlsx]Revenue by Product!PivotTable4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</c:pivotFmt>
    </c:pivotFmts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'Revenue by Product'!$B$3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6481-4B5F-B279-EBFAAFCFA9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6481-4B5F-B279-EBFAAFCFA9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6481-4B5F-B279-EBFAAFCFA9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6481-4B5F-B279-EBFAAFCFA9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6481-4B5F-B279-EBFAAFCFA97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6481-4B5F-B279-EBFAAFCFA97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6481-4B5F-B279-EBFAAFCFA979}"/>
              </c:ext>
            </c:extLst>
          </c:dPt>
          <c:cat>
            <c:strRef>
              <c:f>'Revenue by Product'!$A$4:$A$11</c:f>
              <c:strCache>
                <c:ptCount val="7"/>
                <c:pt idx="0">
                  <c:v>Jeans</c:v>
                </c:pt>
                <c:pt idx="1">
                  <c:v>Dress</c:v>
                </c:pt>
                <c:pt idx="2">
                  <c:v>T-Shirt</c:v>
                </c:pt>
                <c:pt idx="3">
                  <c:v>Skirt</c:v>
                </c:pt>
                <c:pt idx="4">
                  <c:v>Top</c:v>
                </c:pt>
                <c:pt idx="5">
                  <c:v>Shorts</c:v>
                </c:pt>
                <c:pt idx="6">
                  <c:v>Shirt</c:v>
                </c:pt>
              </c:strCache>
            </c:strRef>
          </c:cat>
          <c:val>
            <c:numRef>
              <c:f>'Revenue by Product'!$B$4:$B$11</c:f>
              <c:numCache>
                <c:formatCode>"₹"\ #,##0.00</c:formatCode>
                <c:ptCount val="7"/>
                <c:pt idx="0">
                  <c:v>3280</c:v>
                </c:pt>
                <c:pt idx="1">
                  <c:v>2715</c:v>
                </c:pt>
                <c:pt idx="2">
                  <c:v>2580</c:v>
                </c:pt>
                <c:pt idx="3">
                  <c:v>1870</c:v>
                </c:pt>
                <c:pt idx="4">
                  <c:v>1620</c:v>
                </c:pt>
                <c:pt idx="5">
                  <c:v>1425</c:v>
                </c:pt>
                <c:pt idx="6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E-4A11-98EF-61925335D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9.xlsx]Revenue by City!PivotTable2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'Revenue by City'!$A$4:$A$8</c:f>
              <c:strCache>
                <c:ptCount val="4"/>
                <c:pt idx="0">
                  <c:v>Delhi</c:v>
                </c:pt>
                <c:pt idx="1">
                  <c:v>Mumbai</c:v>
                </c:pt>
                <c:pt idx="2">
                  <c:v>Bangalore</c:v>
                </c:pt>
                <c:pt idx="3">
                  <c:v>Hyderabad</c:v>
                </c:pt>
              </c:strCache>
            </c:strRef>
          </c:cat>
          <c:val>
            <c:numRef>
              <c:f>'Revenue by City'!$B$4:$B$8</c:f>
              <c:numCache>
                <c:formatCode>"₹"\ #,##0.00</c:formatCode>
                <c:ptCount val="4"/>
                <c:pt idx="0">
                  <c:v>4545</c:v>
                </c:pt>
                <c:pt idx="1">
                  <c:v>3915</c:v>
                </c:pt>
                <c:pt idx="2">
                  <c:v>3470</c:v>
                </c:pt>
                <c:pt idx="3">
                  <c:v>2760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D-49D4-A17D-4D429F654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39392"/>
        <c:axId val="2139909648"/>
      </c:barChart>
      <c:catAx>
        <c:axId val="18763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909648"/>
        <c:crosses val="autoZero"/>
        <c:auto val="1"/>
        <c:lblAlgn val="ctr"/>
        <c:lblOffset val="100"/>
        <c:noMultiLvlLbl val="0"/>
      </c:catAx>
      <c:valAx>
        <c:axId val="213990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3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0000">
        <a:alpha val="66000"/>
      </a:srgb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9.xlsx]Revenue by Customer Type!PivotTable3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alpha val="61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alpha val="61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alpha val="61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'Revenue by Customer 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D41-4CB7-B1AA-94053ADD40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D41-4CB7-B1AA-94053ADD4017}"/>
              </c:ext>
            </c:extLst>
          </c:dPt>
          <c:cat>
            <c:strRef>
              <c:f>'Revenue by Customer Type'!$A$4:$A$6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'Revenue by Customer Type'!$B$4:$B$6</c:f>
              <c:numCache>
                <c:formatCode>"₹"\ #,##0.00</c:formatCode>
                <c:ptCount val="2"/>
                <c:pt idx="0">
                  <c:v>8210</c:v>
                </c:pt>
                <c:pt idx="1">
                  <c:v>6480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1-4853-962F-AE2ECB6DF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alpha val="61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50000"/>
        <a:alpha val="9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bg1">
              <a:alpha val="61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9.xlsx]Product by Quantity!PivotTable5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>
                    <a:alpha val="81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by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>
                  <a:alpha val="81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>
                      <a:alpha val="81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'Product by Quantity'!$B$3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AF0-4967-9226-4E92EF1E27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AF0-4967-9226-4E92EF1E27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AF0-4967-9226-4E92EF1E27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AF0-4967-9226-4E92EF1E27F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AF0-4967-9226-4E92EF1E27F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AF0-4967-9226-4E92EF1E27F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AF0-4967-9226-4E92EF1E27F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>
                        <a:alpha val="81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'Product by Quantity'!$A$4:$A$11</c:f>
              <c:strCache>
                <c:ptCount val="7"/>
                <c:pt idx="0">
                  <c:v>T-Shirt</c:v>
                </c:pt>
                <c:pt idx="1">
                  <c:v>Shorts</c:v>
                </c:pt>
                <c:pt idx="2">
                  <c:v>Jeans</c:v>
                </c:pt>
                <c:pt idx="3">
                  <c:v>Top</c:v>
                </c:pt>
                <c:pt idx="4">
                  <c:v>Dress</c:v>
                </c:pt>
                <c:pt idx="5">
                  <c:v>Skirt</c:v>
                </c:pt>
                <c:pt idx="6">
                  <c:v>Shirt</c:v>
                </c:pt>
              </c:strCache>
            </c:strRef>
          </c:cat>
          <c:val>
            <c:numRef>
              <c:f>'Product by Quantity'!$B$4:$B$11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A-4493-ADF3-956B20A54E3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alpha val="81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solidFill>
            <a:schemeClr val="bg1">
              <a:alpha val="81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9.xlsx]City by Quantity!PivotTable6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by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4">
              <a:lumMod val="50000"/>
            </a:schemeClr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5">
              <a:lumMod val="50000"/>
            </a:schemeClr>
          </a:solidFill>
          <a:ln>
            <a:noFill/>
          </a:ln>
          <a:effectLst/>
          <a:sp3d/>
        </c:spP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'City by Quantity'!$B$3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8D64-4812-9C33-BE9F4305768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8D64-4812-9C33-BE9F4305768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8D64-4812-9C33-BE9F4305768E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8D64-4812-9C33-BE9F4305768E}"/>
              </c:ext>
            </c:extLst>
          </c:dPt>
          <c:cat>
            <c:strRef>
              <c:f>'City by Quantity'!$A$4:$A$8</c:f>
              <c:strCache>
                <c:ptCount val="4"/>
                <c:pt idx="0">
                  <c:v>Delhi</c:v>
                </c:pt>
                <c:pt idx="1">
                  <c:v>Hyderabad</c:v>
                </c:pt>
                <c:pt idx="2">
                  <c:v>Mumbai</c:v>
                </c:pt>
                <c:pt idx="3">
                  <c:v>Bangalore</c:v>
                </c:pt>
              </c:strCache>
            </c:strRef>
          </c:cat>
          <c:val>
            <c:numRef>
              <c:f>'City by Quantity'!$B$4:$B$8</c:f>
              <c:numCache>
                <c:formatCode>General</c:formatCode>
                <c:ptCount val="4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8D64-4812-9C33-BE9F43057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300041408"/>
        <c:axId val="1300041888"/>
        <c:axId val="0"/>
      </c:bar3DChart>
      <c:catAx>
        <c:axId val="130004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041888"/>
        <c:crosses val="autoZero"/>
        <c:auto val="1"/>
        <c:lblAlgn val="ctr"/>
        <c:lblOffset val="100"/>
        <c:noMultiLvlLbl val="0"/>
      </c:catAx>
      <c:valAx>
        <c:axId val="130004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04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C00000"/>
    </a:solidFill>
    <a:ln w="9525" cap="flat" cmpd="sng" algn="ctr">
      <a:solidFill>
        <a:schemeClr val="tx1">
          <a:alpha val="82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9.xlsx]Revenue by Order Date!PivotTable1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Order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by Order Date'!$B$1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'Revenue by Order Date'!$A$2:$A$7</c:f>
              <c:strCache>
                <c:ptCount val="5"/>
                <c:pt idx="0">
                  <c:v>15-03-2026</c:v>
                </c:pt>
                <c:pt idx="1">
                  <c:v>16-03-2026</c:v>
                </c:pt>
                <c:pt idx="2">
                  <c:v>17-03-2026</c:v>
                </c:pt>
                <c:pt idx="3">
                  <c:v>18-03-2026</c:v>
                </c:pt>
                <c:pt idx="4">
                  <c:v>19-03-2026</c:v>
                </c:pt>
              </c:strCache>
            </c:strRef>
          </c:cat>
          <c:val>
            <c:numRef>
              <c:f>'Revenue by Order Date'!$B$2:$B$7</c:f>
              <c:numCache>
                <c:formatCode>"₹"\ #,##0.00</c:formatCode>
                <c:ptCount val="5"/>
                <c:pt idx="0">
                  <c:v>2715</c:v>
                </c:pt>
                <c:pt idx="1">
                  <c:v>3025</c:v>
                </c:pt>
                <c:pt idx="2">
                  <c:v>2820</c:v>
                </c:pt>
                <c:pt idx="3">
                  <c:v>3010</c:v>
                </c:pt>
                <c:pt idx="4">
                  <c:v>3120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D4-4544-91A6-215194B6C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5345120"/>
        <c:axId val="1635359040"/>
      </c:lineChart>
      <c:catAx>
        <c:axId val="163534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59040"/>
        <c:crosses val="autoZero"/>
        <c:auto val="1"/>
        <c:lblAlgn val="ctr"/>
        <c:lblOffset val="100"/>
        <c:noMultiLvlLbl val="0"/>
      </c:catAx>
      <c:valAx>
        <c:axId val="163535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4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5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0</xdr:row>
      <xdr:rowOff>163830</xdr:rowOff>
    </xdr:from>
    <xdr:to>
      <xdr:col>13</xdr:col>
      <xdr:colOff>198120</xdr:colOff>
      <xdr:row>24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B61650-6B59-003C-252E-08C135095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</xdr:row>
      <xdr:rowOff>171450</xdr:rowOff>
    </xdr:from>
    <xdr:to>
      <xdr:col>12</xdr:col>
      <xdr:colOff>601980</xdr:colOff>
      <xdr:row>19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7C290C-E227-771F-6E98-0D87A7E37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179070</xdr:rowOff>
    </xdr:from>
    <xdr:to>
      <xdr:col>13</xdr:col>
      <xdr:colOff>7620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2644B2-1D67-1A0A-D61E-AF1CEE4C8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80010</xdr:rowOff>
    </xdr:from>
    <xdr:to>
      <xdr:col>13</xdr:col>
      <xdr:colOff>22860</xdr:colOff>
      <xdr:row>21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178CA6-91BF-751B-64A8-2245647E6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3810</xdr:rowOff>
    </xdr:from>
    <xdr:to>
      <xdr:col>11</xdr:col>
      <xdr:colOff>320040</xdr:colOff>
      <xdr:row>22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681CC9-1F9A-AC48-EA43-8CC1E573E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11430</xdr:rowOff>
    </xdr:from>
    <xdr:to>
      <xdr:col>13</xdr:col>
      <xdr:colOff>15240</xdr:colOff>
      <xdr:row>23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0EBCB-F860-F370-9969-4CA9BA008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</xdr:colOff>
      <xdr:row>22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748DF-6592-A29F-DA5F-4F70F0A39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12.554112847225" createdVersion="8" refreshedVersion="8" minRefreshableVersion="3" recordCount="10" xr:uid="{457D46E8-4991-45D3-A76F-A904BE9E167C}">
  <cacheSource type="worksheet">
    <worksheetSource ref="A1:L11" sheet="Dataset"/>
  </cacheSource>
  <cacheFields count="12">
    <cacheField name="OrderID" numFmtId="0">
      <sharedItems containsSemiMixedTypes="0" containsString="0" containsNumber="1" containsInteger="1" minValue="7001" maxValue="7010"/>
    </cacheField>
    <cacheField name="OrderDate" numFmtId="14">
      <sharedItems containsSemiMixedTypes="0" containsNonDate="0" containsDate="1" containsString="0" minDate="2026-03-15T00:00:00" maxDate="2026-03-20T00:00:00"/>
    </cacheField>
    <cacheField name="City" numFmtId="0">
      <sharedItems count="4">
        <s v="Delhi"/>
        <s v="Mumbai"/>
        <s v="Bangalore"/>
        <s v="Hyderabad"/>
      </sharedItems>
    </cacheField>
    <cacheField name="Category" numFmtId="0">
      <sharedItems count="3">
        <s v="Men"/>
        <s v="Women"/>
        <s v="Kids"/>
      </sharedItems>
    </cacheField>
    <cacheField name="Product" numFmtId="0">
      <sharedItems count="7">
        <s v="T-Shirt"/>
        <s v="Dress"/>
        <s v="Jeans"/>
        <s v="Shorts"/>
        <s v="Top"/>
        <s v="Shirt"/>
        <s v="Skirt"/>
      </sharedItems>
    </cacheField>
    <cacheField name="Quantity" numFmtId="0">
      <sharedItems containsSemiMixedTypes="0" containsString="0" containsNumber="1" containsInteger="1" minValue="1" maxValue="3"/>
    </cacheField>
    <cacheField name="Price" numFmtId="164">
      <sharedItems containsSemiMixedTypes="0" containsString="0" containsNumber="1" containsInteger="1" minValue="500" maxValue="2100"/>
    </cacheField>
    <cacheField name="DiscountPercent" numFmtId="0">
      <sharedItems containsSemiMixedTypes="0" containsString="0" containsNumber="1" containsInteger="1" minValue="0" maxValue="20"/>
    </cacheField>
    <cacheField name="CustomerType" numFmtId="0">
      <sharedItems count="2">
        <s v="New"/>
        <s v="Returning"/>
      </sharedItems>
    </cacheField>
    <cacheField name="DiscountAmount" numFmtId="164">
      <sharedItems containsSemiMixedTypes="0" containsString="0" containsNumber="1" containsInteger="1" minValue="0" maxValue="420"/>
    </cacheField>
    <cacheField name="FinalPrice" numFmtId="164">
      <sharedItems containsSemiMixedTypes="0" containsString="0" containsNumber="1" containsInteger="1" minValue="475" maxValue="1680"/>
    </cacheField>
    <cacheField name="Revenue" numFmtId="164">
      <sharedItems containsSemiMixedTypes="0" containsString="0" containsNumber="1" containsInteger="1" minValue="1140" maxValue="18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13.601945254632" createdVersion="8" refreshedVersion="8" minRefreshableVersion="3" recordCount="10" xr:uid="{AFD34204-E3B5-418E-A785-CD8AD52ED670}">
  <cacheSource type="worksheet">
    <worksheetSource ref="A1:M11" sheet="Dataset"/>
  </cacheSource>
  <cacheFields count="13">
    <cacheField name="OrderID" numFmtId="0">
      <sharedItems containsSemiMixedTypes="0" containsString="0" containsNumber="1" containsInteger="1" minValue="7001" maxValue="7010"/>
    </cacheField>
    <cacheField name="OrderDate" numFmtId="14">
      <sharedItems containsSemiMixedTypes="0" containsNonDate="0" containsDate="1" containsString="0" minDate="2026-03-15T00:00:00" maxDate="2026-03-20T00:00:00" count="5">
        <d v="2026-03-15T00:00:00"/>
        <d v="2026-03-16T00:00:00"/>
        <d v="2026-03-17T00:00:00"/>
        <d v="2026-03-18T00:00:00"/>
        <d v="2026-03-19T00:00:00"/>
      </sharedItems>
    </cacheField>
    <cacheField name="City" numFmtId="0">
      <sharedItems/>
    </cacheField>
    <cacheField name="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3"/>
    </cacheField>
    <cacheField name="Price" numFmtId="164">
      <sharedItems containsSemiMixedTypes="0" containsString="0" containsNumber="1" containsInteger="1" minValue="500" maxValue="2100"/>
    </cacheField>
    <cacheField name="DiscountPercent" numFmtId="2">
      <sharedItems containsSemiMixedTypes="0" containsString="0" containsNumber="1" containsInteger="1" minValue="0" maxValue="20"/>
    </cacheField>
    <cacheField name="CustomerType" numFmtId="0">
      <sharedItems/>
    </cacheField>
    <cacheField name="DiscountAmount" numFmtId="164">
      <sharedItems containsSemiMixedTypes="0" containsString="0" containsNumber="1" containsInteger="1" minValue="0" maxValue="420"/>
    </cacheField>
    <cacheField name="FinalPrice" numFmtId="164">
      <sharedItems containsSemiMixedTypes="0" containsString="0" containsNumber="1" containsInteger="1" minValue="475" maxValue="1680"/>
    </cacheField>
    <cacheField name="Revenue" numFmtId="164">
      <sharedItems containsSemiMixedTypes="0" containsString="0" containsNumber="1" containsInteger="1" minValue="1140" maxValue="1870"/>
    </cacheField>
    <cacheField name="Without Discount" numFmtId="164">
      <sharedItems containsSemiMixedTypes="0" containsString="0" containsNumber="1" containsInteger="1" minValue="1200" maxValue="2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7001"/>
    <d v="2026-03-15T00:00:00"/>
    <x v="0"/>
    <x v="0"/>
    <x v="0"/>
    <n v="2"/>
    <n v="800"/>
    <n v="10"/>
    <x v="0"/>
    <n v="80"/>
    <n v="720"/>
    <n v="1440"/>
  </r>
  <r>
    <n v="7002"/>
    <d v="2026-03-15T00:00:00"/>
    <x v="1"/>
    <x v="1"/>
    <x v="1"/>
    <n v="1"/>
    <n v="1500"/>
    <n v="15"/>
    <x v="1"/>
    <n v="225"/>
    <n v="1275"/>
    <n v="1275"/>
  </r>
  <r>
    <n v="7003"/>
    <d v="2026-03-16T00:00:00"/>
    <x v="2"/>
    <x v="0"/>
    <x v="2"/>
    <n v="1"/>
    <n v="2000"/>
    <n v="20"/>
    <x v="0"/>
    <n v="400"/>
    <n v="1600"/>
    <n v="1600"/>
  </r>
  <r>
    <n v="7004"/>
    <d v="2026-03-16T00:00:00"/>
    <x v="0"/>
    <x v="2"/>
    <x v="3"/>
    <n v="3"/>
    <n v="500"/>
    <n v="5"/>
    <x v="1"/>
    <n v="25"/>
    <n v="475"/>
    <n v="1425"/>
  </r>
  <r>
    <n v="7005"/>
    <d v="2026-03-17T00:00:00"/>
    <x v="3"/>
    <x v="1"/>
    <x v="4"/>
    <n v="2"/>
    <n v="900"/>
    <n v="10"/>
    <x v="0"/>
    <n v="90"/>
    <n v="810"/>
    <n v="1620"/>
  </r>
  <r>
    <n v="7006"/>
    <d v="2026-03-17T00:00:00"/>
    <x v="1"/>
    <x v="0"/>
    <x v="5"/>
    <n v="1"/>
    <n v="1200"/>
    <n v="0"/>
    <x v="1"/>
    <n v="0"/>
    <n v="1200"/>
    <n v="1200"/>
  </r>
  <r>
    <n v="7007"/>
    <d v="2026-03-18T00:00:00"/>
    <x v="2"/>
    <x v="1"/>
    <x v="6"/>
    <n v="2"/>
    <n v="1100"/>
    <n v="15"/>
    <x v="0"/>
    <n v="165"/>
    <n v="935"/>
    <n v="1870"/>
  </r>
  <r>
    <n v="7008"/>
    <d v="2026-03-18T00:00:00"/>
    <x v="3"/>
    <x v="2"/>
    <x v="0"/>
    <n v="2"/>
    <n v="600"/>
    <n v="5"/>
    <x v="1"/>
    <n v="30"/>
    <n v="570"/>
    <n v="1140"/>
  </r>
  <r>
    <n v="7009"/>
    <d v="2026-03-19T00:00:00"/>
    <x v="0"/>
    <x v="0"/>
    <x v="2"/>
    <n v="1"/>
    <n v="2100"/>
    <n v="20"/>
    <x v="0"/>
    <n v="420"/>
    <n v="1680"/>
    <n v="1680"/>
  </r>
  <r>
    <n v="7010"/>
    <d v="2026-03-19T00:00:00"/>
    <x v="1"/>
    <x v="1"/>
    <x v="1"/>
    <n v="1"/>
    <n v="1600"/>
    <n v="10"/>
    <x v="1"/>
    <n v="160"/>
    <n v="1440"/>
    <n v="14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7001"/>
    <x v="0"/>
    <s v="Delhi"/>
    <s v="Men"/>
    <s v="T-Shirt"/>
    <n v="2"/>
    <n v="800"/>
    <n v="10"/>
    <s v="New"/>
    <n v="80"/>
    <n v="720"/>
    <n v="1440"/>
    <n v="1600"/>
  </r>
  <r>
    <n v="7002"/>
    <x v="0"/>
    <s v="Mumbai"/>
    <s v="Women"/>
    <s v="Dress"/>
    <n v="1"/>
    <n v="1500"/>
    <n v="15"/>
    <s v="Returning"/>
    <n v="225"/>
    <n v="1275"/>
    <n v="1275"/>
    <n v="1500"/>
  </r>
  <r>
    <n v="7003"/>
    <x v="1"/>
    <s v="Bangalore"/>
    <s v="Men"/>
    <s v="Jeans"/>
    <n v="1"/>
    <n v="2000"/>
    <n v="20"/>
    <s v="New"/>
    <n v="400"/>
    <n v="1600"/>
    <n v="1600"/>
    <n v="2000"/>
  </r>
  <r>
    <n v="7004"/>
    <x v="1"/>
    <s v="Delhi"/>
    <s v="Kids"/>
    <s v="Shorts"/>
    <n v="3"/>
    <n v="500"/>
    <n v="5"/>
    <s v="Returning"/>
    <n v="25"/>
    <n v="475"/>
    <n v="1425"/>
    <n v="1500"/>
  </r>
  <r>
    <n v="7005"/>
    <x v="2"/>
    <s v="Hyderabad"/>
    <s v="Women"/>
    <s v="Top"/>
    <n v="2"/>
    <n v="900"/>
    <n v="10"/>
    <s v="New"/>
    <n v="90"/>
    <n v="810"/>
    <n v="1620"/>
    <n v="1800"/>
  </r>
  <r>
    <n v="7006"/>
    <x v="2"/>
    <s v="Mumbai"/>
    <s v="Men"/>
    <s v="Shirt"/>
    <n v="1"/>
    <n v="1200"/>
    <n v="0"/>
    <s v="Returning"/>
    <n v="0"/>
    <n v="1200"/>
    <n v="1200"/>
    <n v="1200"/>
  </r>
  <r>
    <n v="7007"/>
    <x v="3"/>
    <s v="Bangalore"/>
    <s v="Women"/>
    <s v="Skirt"/>
    <n v="2"/>
    <n v="1100"/>
    <n v="15"/>
    <s v="New"/>
    <n v="165"/>
    <n v="935"/>
    <n v="1870"/>
    <n v="2200"/>
  </r>
  <r>
    <n v="7008"/>
    <x v="3"/>
    <s v="Hyderabad"/>
    <s v="Kids"/>
    <s v="T-Shirt"/>
    <n v="2"/>
    <n v="600"/>
    <n v="5"/>
    <s v="Returning"/>
    <n v="30"/>
    <n v="570"/>
    <n v="1140"/>
    <n v="1200"/>
  </r>
  <r>
    <n v="7009"/>
    <x v="4"/>
    <s v="Delhi"/>
    <s v="Men"/>
    <s v="Jeans"/>
    <n v="1"/>
    <n v="2100"/>
    <n v="20"/>
    <s v="New"/>
    <n v="420"/>
    <n v="1680"/>
    <n v="1680"/>
    <n v="2100"/>
  </r>
  <r>
    <n v="7010"/>
    <x v="4"/>
    <s v="Mumbai"/>
    <s v="Women"/>
    <s v="Dress"/>
    <n v="1"/>
    <n v="1600"/>
    <n v="10"/>
    <s v="Returning"/>
    <n v="160"/>
    <n v="1440"/>
    <n v="1440"/>
    <n v="1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8DC0F-A474-41BD-9999-5C8AD6C3DAA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A3:B7" firstHeaderRow="1" firstDataRow="1" firstDataCol="1"/>
  <pivotFields count="12">
    <pivotField showAll="0"/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numFmtId="164" showAll="0"/>
    <pivotField showAll="0"/>
    <pivotField showAll="0"/>
    <pivotField numFmtId="164" showAll="0"/>
    <pivotField numFmtId="164" showAll="0"/>
    <pivotField dataField="1" numFmtId="164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1" baseField="0" baseItem="0" numFmtId="164"/>
  </dataFields>
  <formats count="6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3" type="button" dataOnly="0" labelOnly="1" outline="0" axis="axisRow" fieldPosition="0"/>
    </format>
    <format dxfId="42">
      <pivotArea dataOnly="0" labelOnly="1" fieldPosition="0">
        <references count="1">
          <reference field="3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CF922-6128-4744-8DE8-21BF43256E7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">
  <location ref="A3:B11" firstHeaderRow="1" firstDataRow="1" firstDataCol="1"/>
  <pivotFields count="12">
    <pivotField showAll="0"/>
    <pivotField numFmtId="14" showAll="0"/>
    <pivotField showAll="0"/>
    <pivotField showAll="0"/>
    <pivotField axis="axisRow" showAll="0" sortType="descending">
      <items count="8">
        <item x="1"/>
        <item x="2"/>
        <item x="5"/>
        <item x="3"/>
        <item x="6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8">
    <i>
      <x v="1"/>
    </i>
    <i>
      <x/>
    </i>
    <i>
      <x v="6"/>
    </i>
    <i>
      <x v="4"/>
    </i>
    <i>
      <x v="5"/>
    </i>
    <i>
      <x v="3"/>
    </i>
    <i>
      <x v="2"/>
    </i>
    <i t="grand">
      <x/>
    </i>
  </rowItems>
  <colItems count="1">
    <i/>
  </colItems>
  <dataFields count="1">
    <dataField name="Sum of Revenue" fld="11" baseField="0" baseItem="0" numFmtId="164"/>
  </dataFields>
  <formats count="6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4" type="button" dataOnly="0" labelOnly="1" outline="0" axis="axisRow" fieldPosition="0"/>
    </format>
    <format dxfId="36">
      <pivotArea dataOnly="0" labelOnly="1" fieldPosition="0">
        <references count="1">
          <reference field="4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9171F-471C-4B98-9731-810EDE1D0AC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ity">
  <location ref="A3:B8" firstHeaderRow="1" firstDataRow="1" firstDataCol="1"/>
  <pivotFields count="12">
    <pivotField showAll="0"/>
    <pivotField numFmtId="14" showAll="0"/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showAll="0"/>
    <pivotField showAll="0"/>
    <pivotField numFmtId="164" showAll="0"/>
    <pivotField numFmtId="164" showAll="0"/>
    <pivotField dataField="1" numFmtId="164" showAll="0"/>
  </pivotFields>
  <rowFields count="1">
    <field x="2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Sum of Revenue" fld="11" baseField="0" baseItem="0" numFmtId="164"/>
  </dataFields>
  <formats count="6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2" type="button" dataOnly="0" labelOnly="1" outline="0" axis="axisRow" fieldPosition="0"/>
    </format>
    <format dxfId="30">
      <pivotArea dataOnly="0" labelOnly="1" fieldPosition="0">
        <references count="1">
          <reference field="2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64A1A-D15F-4A1F-B462-9F9FC7722AE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ustomer Type">
  <location ref="A3:B6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numFmtId="164" showAll="0"/>
    <pivotField showAll="0"/>
    <pivotField axis="axisRow" showAll="0">
      <items count="3">
        <item x="0"/>
        <item x="1"/>
        <item t="default"/>
      </items>
    </pivotField>
    <pivotField numFmtId="164" showAll="0"/>
    <pivotField numFmtId="164" showAll="0"/>
    <pivotField dataField="1" numFmtId="164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Revenue" fld="11" baseField="0" baseItem="0" numFmtId="164"/>
  </dataFields>
  <formats count="6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8" type="button" dataOnly="0" labelOnly="1" outline="0" axis="axisRow" fieldPosition="0"/>
    </format>
    <format dxfId="24">
      <pivotArea dataOnly="0" labelOnly="1" fieldPosition="0">
        <references count="1">
          <reference field="8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3C97A-9E32-40BF-B02E-6F260147BFF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roduct">
  <location ref="A3:B11" firstHeaderRow="1" firstDataRow="1" firstDataCol="1"/>
  <pivotFields count="12">
    <pivotField showAll="0"/>
    <pivotField numFmtId="14" showAll="0"/>
    <pivotField showAll="0"/>
    <pivotField showAll="0"/>
    <pivotField axis="axisRow" showAll="0" sortType="descending">
      <items count="8">
        <item x="1"/>
        <item x="2"/>
        <item x="5"/>
        <item x="3"/>
        <item x="6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64" showAll="0"/>
    <pivotField showAll="0"/>
    <pivotField showAll="0"/>
    <pivotField numFmtId="164" showAll="0"/>
    <pivotField numFmtId="164" showAll="0"/>
    <pivotField numFmtId="164" showAll="0"/>
  </pivotFields>
  <rowFields count="1">
    <field x="4"/>
  </rowFields>
  <rowItems count="8">
    <i>
      <x v="6"/>
    </i>
    <i>
      <x v="3"/>
    </i>
    <i>
      <x v="1"/>
    </i>
    <i>
      <x v="5"/>
    </i>
    <i>
      <x/>
    </i>
    <i>
      <x v="4"/>
    </i>
    <i>
      <x v="2"/>
    </i>
    <i t="grand">
      <x/>
    </i>
  </rowItems>
  <colItems count="1">
    <i/>
  </colItems>
  <dataFields count="1">
    <dataField name="Sum of Quantity" fld="5" baseField="0" baseItem="0"/>
  </dataFields>
  <formats count="6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4" type="button" dataOnly="0" labelOnly="1" outline="0" axis="axisRow" fieldPosition="0"/>
    </format>
    <format dxfId="18">
      <pivotArea dataOnly="0" labelOnly="1" fieldPosition="0">
        <references count="1">
          <reference field="4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697EEF-B10D-4353-B854-45CBCC3DCF1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ity">
  <location ref="A3:B8" firstHeaderRow="1" firstDataRow="1" firstDataCol="1"/>
  <pivotFields count="12">
    <pivotField showAll="0"/>
    <pivotField numFmtId="14" showAll="0"/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numFmtId="164" showAll="0"/>
    <pivotField showAll="0"/>
    <pivotField showAll="0"/>
    <pivotField numFmtId="164" showAll="0"/>
    <pivotField numFmtId="164" showAll="0"/>
    <pivotField numFmtId="164" showAll="0"/>
  </pivotFields>
  <rowFields count="1">
    <field x="2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Quantity" fld="5" baseField="0" baseItem="0"/>
  </dataFields>
  <formats count="6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2" type="button" dataOnly="0" labelOnly="1" outline="0" axis="axisRow" fieldPosition="0"/>
    </format>
    <format dxfId="12">
      <pivotArea dataOnly="0" labelOnly="1" fieldPosition="0">
        <references count="1">
          <reference field="2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AD1AB-9E2E-4224-B370-8A524C799F1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Order Date">
  <location ref="A1:B7" firstHeaderRow="1" firstDataRow="1" firstDataCol="1"/>
  <pivotFields count="13">
    <pivotField showAll="0"/>
    <pivotField axis="axisRow" numFmtId="14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numFmtId="164" showAll="0"/>
    <pivotField numFmtId="2" showAll="0"/>
    <pivotField showAll="0"/>
    <pivotField numFmtId="164" showAll="0"/>
    <pivotField numFmtId="164" showAll="0"/>
    <pivotField dataField="1" numFmtId="164" showAll="0"/>
    <pivotField numFmtId="16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1" baseField="0" baseItem="0" numFmtId="164"/>
  </dataFields>
  <formats count="9">
    <format dxfId="9">
      <pivotArea type="all" dataOnly="0" outline="0" fieldPosition="0"/>
    </format>
    <format dxfId="8">
      <pivotArea outline="0" collapsedLevelsAreSubtotals="1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BD39-1A49-4085-8FD4-358B8481444E}">
  <dimension ref="A3:B10"/>
  <sheetViews>
    <sheetView workbookViewId="0">
      <selection activeCell="O14" sqref="O14"/>
    </sheetView>
  </sheetViews>
  <sheetFormatPr defaultRowHeight="14.4" x14ac:dyDescent="0.3"/>
  <cols>
    <col min="1" max="1" width="30.5546875" style="8" bestFit="1" customWidth="1"/>
    <col min="2" max="2" width="14.88671875" style="8" bestFit="1" customWidth="1"/>
    <col min="3" max="16384" width="8.88671875" style="8"/>
  </cols>
  <sheetData>
    <row r="3" spans="1:2" x14ac:dyDescent="0.3">
      <c r="A3" s="11" t="s">
        <v>3</v>
      </c>
      <c r="B3" s="8" t="s">
        <v>29</v>
      </c>
    </row>
    <row r="4" spans="1:2" x14ac:dyDescent="0.3">
      <c r="A4" s="8" t="s">
        <v>19</v>
      </c>
      <c r="B4" s="9">
        <v>2565</v>
      </c>
    </row>
    <row r="5" spans="1:2" x14ac:dyDescent="0.3">
      <c r="A5" s="8" t="s">
        <v>10</v>
      </c>
      <c r="B5" s="9">
        <v>5920</v>
      </c>
    </row>
    <row r="6" spans="1:2" x14ac:dyDescent="0.3">
      <c r="A6" s="8" t="s">
        <v>14</v>
      </c>
      <c r="B6" s="9">
        <v>6205</v>
      </c>
    </row>
    <row r="7" spans="1:2" x14ac:dyDescent="0.3">
      <c r="A7" s="8" t="s">
        <v>28</v>
      </c>
      <c r="B7" s="9">
        <v>14690</v>
      </c>
    </row>
    <row r="10" spans="1:2" x14ac:dyDescent="0.3">
      <c r="A10" s="7" t="s">
        <v>30</v>
      </c>
      <c r="B10" s="7" t="str">
        <f>_xlfn.XLOOKUP(MAX(B4:B6),B4:B6,A4:A6,,0)</f>
        <v>Women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4FE1C-618D-409A-9E82-111A044A218C}">
  <dimension ref="A3:B14"/>
  <sheetViews>
    <sheetView workbookViewId="0">
      <selection activeCell="O11" sqref="O11"/>
    </sheetView>
  </sheetViews>
  <sheetFormatPr defaultRowHeight="14.4" x14ac:dyDescent="0.3"/>
  <cols>
    <col min="1" max="1" width="29.5546875" style="8" bestFit="1" customWidth="1"/>
    <col min="2" max="2" width="14.88671875" style="8" bestFit="1" customWidth="1"/>
    <col min="3" max="16384" width="8.88671875" style="8"/>
  </cols>
  <sheetData>
    <row r="3" spans="1:2" x14ac:dyDescent="0.3">
      <c r="A3" s="11" t="s">
        <v>4</v>
      </c>
      <c r="B3" s="8" t="s">
        <v>29</v>
      </c>
    </row>
    <row r="4" spans="1:2" x14ac:dyDescent="0.3">
      <c r="A4" s="8" t="s">
        <v>18</v>
      </c>
      <c r="B4" s="9">
        <v>3280</v>
      </c>
    </row>
    <row r="5" spans="1:2" x14ac:dyDescent="0.3">
      <c r="A5" s="8" t="s">
        <v>15</v>
      </c>
      <c r="B5" s="9">
        <v>2715</v>
      </c>
    </row>
    <row r="6" spans="1:2" x14ac:dyDescent="0.3">
      <c r="A6" s="8" t="s">
        <v>11</v>
      </c>
      <c r="B6" s="9">
        <v>2580</v>
      </c>
    </row>
    <row r="7" spans="1:2" x14ac:dyDescent="0.3">
      <c r="A7" s="8" t="s">
        <v>24</v>
      </c>
      <c r="B7" s="9">
        <v>1870</v>
      </c>
    </row>
    <row r="8" spans="1:2" x14ac:dyDescent="0.3">
      <c r="A8" s="8" t="s">
        <v>22</v>
      </c>
      <c r="B8" s="9">
        <v>1620</v>
      </c>
    </row>
    <row r="9" spans="1:2" x14ac:dyDescent="0.3">
      <c r="A9" s="8" t="s">
        <v>20</v>
      </c>
      <c r="B9" s="9">
        <v>1425</v>
      </c>
    </row>
    <row r="10" spans="1:2" x14ac:dyDescent="0.3">
      <c r="A10" s="8" t="s">
        <v>23</v>
      </c>
      <c r="B10" s="9">
        <v>1200</v>
      </c>
    </row>
    <row r="11" spans="1:2" x14ac:dyDescent="0.3">
      <c r="A11" s="8" t="s">
        <v>28</v>
      </c>
      <c r="B11" s="9">
        <v>14690</v>
      </c>
    </row>
    <row r="14" spans="1:2" x14ac:dyDescent="0.3">
      <c r="A14" s="7" t="s">
        <v>34</v>
      </c>
      <c r="B14" s="7" t="str">
        <f>_xlfn.XLOOKUP(MAX(B4:B10),B4:B10,A4:A10,,0)</f>
        <v>Jeans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8E32-A0BC-4FF8-B395-DC25EDD12699}">
  <dimension ref="A3:B11"/>
  <sheetViews>
    <sheetView workbookViewId="0">
      <selection activeCell="N12" sqref="N12"/>
    </sheetView>
  </sheetViews>
  <sheetFormatPr defaultRowHeight="14.4" x14ac:dyDescent="0.3"/>
  <cols>
    <col min="1" max="1" width="26.21875" style="8" bestFit="1" customWidth="1"/>
    <col min="2" max="2" width="14.88671875" style="8" bestFit="1" customWidth="1"/>
    <col min="3" max="16384" width="8.88671875" style="8"/>
  </cols>
  <sheetData>
    <row r="3" spans="1:2" x14ac:dyDescent="0.3">
      <c r="A3" s="11" t="s">
        <v>2</v>
      </c>
      <c r="B3" s="8" t="s">
        <v>29</v>
      </c>
    </row>
    <row r="4" spans="1:2" x14ac:dyDescent="0.3">
      <c r="A4" s="8" t="s">
        <v>9</v>
      </c>
      <c r="B4" s="9">
        <v>4545</v>
      </c>
    </row>
    <row r="5" spans="1:2" x14ac:dyDescent="0.3">
      <c r="A5" s="8" t="s">
        <v>13</v>
      </c>
      <c r="B5" s="9">
        <v>3915</v>
      </c>
    </row>
    <row r="6" spans="1:2" x14ac:dyDescent="0.3">
      <c r="A6" s="8" t="s">
        <v>17</v>
      </c>
      <c r="B6" s="9">
        <v>3470</v>
      </c>
    </row>
    <row r="7" spans="1:2" x14ac:dyDescent="0.3">
      <c r="A7" s="8" t="s">
        <v>21</v>
      </c>
      <c r="B7" s="9">
        <v>2760</v>
      </c>
    </row>
    <row r="8" spans="1:2" x14ac:dyDescent="0.3">
      <c r="A8" s="8" t="s">
        <v>28</v>
      </c>
      <c r="B8" s="9">
        <v>14690</v>
      </c>
    </row>
    <row r="11" spans="1:2" x14ac:dyDescent="0.3">
      <c r="A11" s="7" t="s">
        <v>31</v>
      </c>
      <c r="B11" s="7" t="str">
        <f>_xlfn.XLOOKUP(MIN(B4:B7),B4:B7,A4:A7,,0)</f>
        <v>Hyderabad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0A37-A3A0-4A62-88F3-BF233B67A0A7}">
  <dimension ref="A3:B9"/>
  <sheetViews>
    <sheetView workbookViewId="0">
      <selection activeCell="O15" sqref="O15"/>
    </sheetView>
  </sheetViews>
  <sheetFormatPr defaultRowHeight="14.4" x14ac:dyDescent="0.3"/>
  <cols>
    <col min="1" max="1" width="17.44140625" style="8" bestFit="1" customWidth="1"/>
    <col min="2" max="2" width="14.88671875" style="8" bestFit="1" customWidth="1"/>
    <col min="3" max="16384" width="8.88671875" style="8"/>
  </cols>
  <sheetData>
    <row r="3" spans="1:2" x14ac:dyDescent="0.3">
      <c r="A3" s="11" t="s">
        <v>32</v>
      </c>
      <c r="B3" s="8" t="s">
        <v>29</v>
      </c>
    </row>
    <row r="4" spans="1:2" x14ac:dyDescent="0.3">
      <c r="A4" s="8" t="s">
        <v>12</v>
      </c>
      <c r="B4" s="9">
        <v>8210</v>
      </c>
    </row>
    <row r="5" spans="1:2" x14ac:dyDescent="0.3">
      <c r="A5" s="8" t="s">
        <v>16</v>
      </c>
      <c r="B5" s="9">
        <v>6480</v>
      </c>
    </row>
    <row r="6" spans="1:2" x14ac:dyDescent="0.3">
      <c r="A6" s="8" t="s">
        <v>28</v>
      </c>
      <c r="B6" s="9">
        <v>14690</v>
      </c>
    </row>
    <row r="9" spans="1:2" x14ac:dyDescent="0.3">
      <c r="A9" s="7" t="s">
        <v>33</v>
      </c>
      <c r="B9" s="15">
        <f>AVERAGE(B4:B5)</f>
        <v>7345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F172-3311-43B1-AABC-F94541801A30}">
  <dimension ref="A3:B14"/>
  <sheetViews>
    <sheetView workbookViewId="0">
      <selection activeCell="N12" sqref="N12"/>
    </sheetView>
  </sheetViews>
  <sheetFormatPr defaultRowHeight="14.4" x14ac:dyDescent="0.3"/>
  <cols>
    <col min="1" max="1" width="26.77734375" style="8" bestFit="1" customWidth="1"/>
    <col min="2" max="2" width="14.88671875" style="8" bestFit="1" customWidth="1"/>
    <col min="3" max="16384" width="8.88671875" style="8"/>
  </cols>
  <sheetData>
    <row r="3" spans="1:2" x14ac:dyDescent="0.3">
      <c r="A3" s="11" t="s">
        <v>4</v>
      </c>
      <c r="B3" s="8" t="s">
        <v>35</v>
      </c>
    </row>
    <row r="4" spans="1:2" x14ac:dyDescent="0.3">
      <c r="A4" s="8" t="s">
        <v>11</v>
      </c>
      <c r="B4" s="8">
        <v>4</v>
      </c>
    </row>
    <row r="5" spans="1:2" x14ac:dyDescent="0.3">
      <c r="A5" s="8" t="s">
        <v>20</v>
      </c>
      <c r="B5" s="8">
        <v>3</v>
      </c>
    </row>
    <row r="6" spans="1:2" x14ac:dyDescent="0.3">
      <c r="A6" s="8" t="s">
        <v>18</v>
      </c>
      <c r="B6" s="8">
        <v>2</v>
      </c>
    </row>
    <row r="7" spans="1:2" x14ac:dyDescent="0.3">
      <c r="A7" s="8" t="s">
        <v>22</v>
      </c>
      <c r="B7" s="8">
        <v>2</v>
      </c>
    </row>
    <row r="8" spans="1:2" x14ac:dyDescent="0.3">
      <c r="A8" s="8" t="s">
        <v>15</v>
      </c>
      <c r="B8" s="8">
        <v>2</v>
      </c>
    </row>
    <row r="9" spans="1:2" x14ac:dyDescent="0.3">
      <c r="A9" s="8" t="s">
        <v>24</v>
      </c>
      <c r="B9" s="8">
        <v>2</v>
      </c>
    </row>
    <row r="10" spans="1:2" x14ac:dyDescent="0.3">
      <c r="A10" s="8" t="s">
        <v>23</v>
      </c>
      <c r="B10" s="8">
        <v>1</v>
      </c>
    </row>
    <row r="11" spans="1:2" x14ac:dyDescent="0.3">
      <c r="A11" s="8" t="s">
        <v>28</v>
      </c>
      <c r="B11" s="8">
        <v>16</v>
      </c>
    </row>
    <row r="14" spans="1:2" x14ac:dyDescent="0.3">
      <c r="A14" s="7" t="s">
        <v>36</v>
      </c>
      <c r="B14" s="7" t="str">
        <f>_xlfn.XLOOKUP(MAX(B4:B10),B4:B10,A4:A10,,0)</f>
        <v>T-Shirt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66DE-E9CF-4C39-A963-227BE2267FF5}">
  <dimension ref="A3:B12"/>
  <sheetViews>
    <sheetView workbookViewId="0">
      <selection activeCell="O10" sqref="O10"/>
    </sheetView>
  </sheetViews>
  <sheetFormatPr defaultRowHeight="14.4" x14ac:dyDescent="0.3"/>
  <cols>
    <col min="1" max="1" width="30.44140625" style="8" bestFit="1" customWidth="1"/>
    <col min="2" max="2" width="16.44140625" style="8" bestFit="1" customWidth="1"/>
    <col min="3" max="16384" width="8.88671875" style="8"/>
  </cols>
  <sheetData>
    <row r="3" spans="1:2" x14ac:dyDescent="0.3">
      <c r="A3" s="11" t="s">
        <v>2</v>
      </c>
      <c r="B3" s="8" t="s">
        <v>35</v>
      </c>
    </row>
    <row r="4" spans="1:2" x14ac:dyDescent="0.3">
      <c r="A4" s="8" t="s">
        <v>9</v>
      </c>
      <c r="B4" s="8">
        <v>6</v>
      </c>
    </row>
    <row r="5" spans="1:2" x14ac:dyDescent="0.3">
      <c r="A5" s="8" t="s">
        <v>21</v>
      </c>
      <c r="B5" s="8">
        <v>4</v>
      </c>
    </row>
    <row r="6" spans="1:2" x14ac:dyDescent="0.3">
      <c r="A6" s="8" t="s">
        <v>13</v>
      </c>
      <c r="B6" s="8">
        <v>3</v>
      </c>
    </row>
    <row r="7" spans="1:2" x14ac:dyDescent="0.3">
      <c r="A7" s="8" t="s">
        <v>17</v>
      </c>
      <c r="B7" s="8">
        <v>3</v>
      </c>
    </row>
    <row r="8" spans="1:2" x14ac:dyDescent="0.3">
      <c r="A8" s="8" t="s">
        <v>28</v>
      </c>
      <c r="B8" s="8">
        <v>16</v>
      </c>
    </row>
    <row r="12" spans="1:2" x14ac:dyDescent="0.3">
      <c r="A12" s="7" t="s">
        <v>37</v>
      </c>
      <c r="B12" s="7" t="str" cm="1">
        <f t="array" ref="B12">_xlfn.TEXTJOIN(",",TRUE,_xlfn._xlws.FILTER(A4:A7,B4:B7=MIN(B4:B7)))</f>
        <v>Mumbai,Bangalore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7DA29-3F48-4A7D-BA8D-62944C78FAA8}">
  <dimension ref="A1:B10"/>
  <sheetViews>
    <sheetView workbookViewId="0">
      <selection activeCell="C18" sqref="C18"/>
    </sheetView>
  </sheetViews>
  <sheetFormatPr defaultRowHeight="14.4" x14ac:dyDescent="0.3"/>
  <cols>
    <col min="1" max="1" width="25.21875" style="10" bestFit="1" customWidth="1"/>
    <col min="2" max="2" width="14.88671875" style="8" bestFit="1" customWidth="1"/>
    <col min="3" max="16384" width="8.88671875" style="8"/>
  </cols>
  <sheetData>
    <row r="1" spans="1:2" x14ac:dyDescent="0.3">
      <c r="A1" s="16" t="s">
        <v>39</v>
      </c>
      <c r="B1" s="8" t="s">
        <v>29</v>
      </c>
    </row>
    <row r="2" spans="1:2" x14ac:dyDescent="0.3">
      <c r="A2" s="10">
        <v>46096</v>
      </c>
      <c r="B2" s="9">
        <v>2715</v>
      </c>
    </row>
    <row r="3" spans="1:2" x14ac:dyDescent="0.3">
      <c r="A3" s="10">
        <v>46097</v>
      </c>
      <c r="B3" s="9">
        <v>3025</v>
      </c>
    </row>
    <row r="4" spans="1:2" x14ac:dyDescent="0.3">
      <c r="A4" s="10">
        <v>46098</v>
      </c>
      <c r="B4" s="9">
        <v>2820</v>
      </c>
    </row>
    <row r="5" spans="1:2" x14ac:dyDescent="0.3">
      <c r="A5" s="10">
        <v>46099</v>
      </c>
      <c r="B5" s="9">
        <v>3010</v>
      </c>
    </row>
    <row r="6" spans="1:2" x14ac:dyDescent="0.3">
      <c r="A6" s="10">
        <v>46100</v>
      </c>
      <c r="B6" s="9">
        <v>3120</v>
      </c>
    </row>
    <row r="7" spans="1:2" x14ac:dyDescent="0.3">
      <c r="A7" s="10" t="s">
        <v>28</v>
      </c>
      <c r="B7" s="9">
        <v>14690</v>
      </c>
    </row>
    <row r="10" spans="1:2" x14ac:dyDescent="0.3">
      <c r="A10" s="10" t="s">
        <v>40</v>
      </c>
      <c r="B10" s="10">
        <f>_xlfn.XLOOKUP(MAX(B2:B6),B2:B6,A2:A6,,0)</f>
        <v>46100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1FE1-BE2C-4931-B6ED-27E2543B7776}">
  <sheetPr codeName="Sheet1"/>
  <dimension ref="A1:N11"/>
  <sheetViews>
    <sheetView tabSelected="1" workbookViewId="0">
      <selection activeCell="E17" sqref="E17"/>
    </sheetView>
  </sheetViews>
  <sheetFormatPr defaultRowHeight="14.4" x14ac:dyDescent="0.3"/>
  <cols>
    <col min="1" max="1" width="7.5546875" style="8" bestFit="1" customWidth="1"/>
    <col min="2" max="2" width="10.33203125" style="10" bestFit="1" customWidth="1"/>
    <col min="3" max="3" width="9.77734375" style="8" bestFit="1" customWidth="1"/>
    <col min="4" max="4" width="8.5546875" style="8" bestFit="1" customWidth="1"/>
    <col min="5" max="5" width="7.6640625" style="8" bestFit="1" customWidth="1"/>
    <col min="6" max="6" width="8.33203125" style="8" bestFit="1" customWidth="1"/>
    <col min="7" max="7" width="9.44140625" style="9" bestFit="1" customWidth="1"/>
    <col min="8" max="8" width="14.88671875" style="14" bestFit="1" customWidth="1"/>
    <col min="9" max="9" width="13.33203125" style="8" bestFit="1" customWidth="1"/>
    <col min="10" max="10" width="15.33203125" style="8" bestFit="1" customWidth="1"/>
    <col min="11" max="12" width="9.44140625" style="8" bestFit="1" customWidth="1"/>
    <col min="13" max="13" width="15.77734375" style="9" bestFit="1" customWidth="1"/>
    <col min="14" max="14" width="9.44140625" style="8" bestFit="1" customWidth="1"/>
    <col min="15" max="16384" width="8.88671875" style="8"/>
  </cols>
  <sheetData>
    <row r="1" spans="1:14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2" t="s">
        <v>7</v>
      </c>
      <c r="I1" s="1" t="s">
        <v>8</v>
      </c>
      <c r="J1" s="7" t="s">
        <v>26</v>
      </c>
      <c r="K1" s="1" t="s">
        <v>27</v>
      </c>
      <c r="L1" s="1" t="s">
        <v>25</v>
      </c>
      <c r="M1" s="15" t="s">
        <v>38</v>
      </c>
      <c r="N1" s="7"/>
    </row>
    <row r="2" spans="1:14" x14ac:dyDescent="0.3">
      <c r="A2" s="2">
        <v>7001</v>
      </c>
      <c r="B2" s="3">
        <v>46096</v>
      </c>
      <c r="C2" s="2" t="s">
        <v>9</v>
      </c>
      <c r="D2" s="2" t="s">
        <v>10</v>
      </c>
      <c r="E2" s="2" t="s">
        <v>11</v>
      </c>
      <c r="F2" s="2">
        <v>2</v>
      </c>
      <c r="G2" s="5">
        <v>800</v>
      </c>
      <c r="H2" s="13">
        <v>10</v>
      </c>
      <c r="I2" s="2" t="s">
        <v>12</v>
      </c>
      <c r="J2" s="9">
        <f>(G2*H2)/100</f>
        <v>80</v>
      </c>
      <c r="K2" s="9">
        <f>G2-J2</f>
        <v>720</v>
      </c>
      <c r="L2" s="9">
        <f>F2*K2</f>
        <v>1440</v>
      </c>
      <c r="M2" s="9">
        <f>F2*G2</f>
        <v>1600</v>
      </c>
      <c r="N2" s="9"/>
    </row>
    <row r="3" spans="1:14" x14ac:dyDescent="0.3">
      <c r="A3" s="2">
        <v>7002</v>
      </c>
      <c r="B3" s="3">
        <v>46096</v>
      </c>
      <c r="C3" s="2" t="s">
        <v>13</v>
      </c>
      <c r="D3" s="2" t="s">
        <v>14</v>
      </c>
      <c r="E3" s="2" t="s">
        <v>15</v>
      </c>
      <c r="F3" s="2">
        <v>1</v>
      </c>
      <c r="G3" s="5">
        <v>1500</v>
      </c>
      <c r="H3" s="13">
        <v>15</v>
      </c>
      <c r="I3" s="2" t="s">
        <v>16</v>
      </c>
      <c r="J3" s="9">
        <f t="shared" ref="J3:J11" si="0">(G3*H3)/100</f>
        <v>225</v>
      </c>
      <c r="K3" s="9">
        <f t="shared" ref="K3:K11" si="1">G3-J3</f>
        <v>1275</v>
      </c>
      <c r="L3" s="9">
        <f t="shared" ref="L3:L11" si="2">F3*K3</f>
        <v>1275</v>
      </c>
      <c r="M3" s="9">
        <f t="shared" ref="M3:M11" si="3">F3*G3</f>
        <v>1500</v>
      </c>
      <c r="N3" s="9"/>
    </row>
    <row r="4" spans="1:14" x14ac:dyDescent="0.3">
      <c r="A4" s="2">
        <v>7003</v>
      </c>
      <c r="B4" s="3">
        <v>46097</v>
      </c>
      <c r="C4" s="2" t="s">
        <v>17</v>
      </c>
      <c r="D4" s="2" t="s">
        <v>10</v>
      </c>
      <c r="E4" s="2" t="s">
        <v>18</v>
      </c>
      <c r="F4" s="2">
        <v>1</v>
      </c>
      <c r="G4" s="5">
        <v>2000</v>
      </c>
      <c r="H4" s="13">
        <v>20</v>
      </c>
      <c r="I4" s="2" t="s">
        <v>12</v>
      </c>
      <c r="J4" s="9">
        <f t="shared" si="0"/>
        <v>400</v>
      </c>
      <c r="K4" s="9">
        <f t="shared" si="1"/>
        <v>1600</v>
      </c>
      <c r="L4" s="9">
        <f t="shared" si="2"/>
        <v>1600</v>
      </c>
      <c r="M4" s="9">
        <f t="shared" si="3"/>
        <v>2000</v>
      </c>
      <c r="N4" s="9"/>
    </row>
    <row r="5" spans="1:14" x14ac:dyDescent="0.3">
      <c r="A5" s="2">
        <v>7004</v>
      </c>
      <c r="B5" s="3">
        <v>46097</v>
      </c>
      <c r="C5" s="2" t="s">
        <v>9</v>
      </c>
      <c r="D5" s="2" t="s">
        <v>19</v>
      </c>
      <c r="E5" s="2" t="s">
        <v>20</v>
      </c>
      <c r="F5" s="2">
        <v>3</v>
      </c>
      <c r="G5" s="5">
        <v>500</v>
      </c>
      <c r="H5" s="13">
        <v>5</v>
      </c>
      <c r="I5" s="2" t="s">
        <v>16</v>
      </c>
      <c r="J5" s="9">
        <f t="shared" si="0"/>
        <v>25</v>
      </c>
      <c r="K5" s="9">
        <f t="shared" si="1"/>
        <v>475</v>
      </c>
      <c r="L5" s="9">
        <f t="shared" si="2"/>
        <v>1425</v>
      </c>
      <c r="M5" s="9">
        <f t="shared" si="3"/>
        <v>1500</v>
      </c>
      <c r="N5" s="9"/>
    </row>
    <row r="6" spans="1:14" x14ac:dyDescent="0.3">
      <c r="A6" s="2">
        <v>7005</v>
      </c>
      <c r="B6" s="3">
        <v>46098</v>
      </c>
      <c r="C6" s="2" t="s">
        <v>21</v>
      </c>
      <c r="D6" s="2" t="s">
        <v>14</v>
      </c>
      <c r="E6" s="2" t="s">
        <v>22</v>
      </c>
      <c r="F6" s="2">
        <v>2</v>
      </c>
      <c r="G6" s="5">
        <v>900</v>
      </c>
      <c r="H6" s="13">
        <v>10</v>
      </c>
      <c r="I6" s="2" t="s">
        <v>12</v>
      </c>
      <c r="J6" s="9">
        <f t="shared" si="0"/>
        <v>90</v>
      </c>
      <c r="K6" s="9">
        <f t="shared" si="1"/>
        <v>810</v>
      </c>
      <c r="L6" s="9">
        <f t="shared" si="2"/>
        <v>1620</v>
      </c>
      <c r="M6" s="9">
        <f t="shared" si="3"/>
        <v>1800</v>
      </c>
      <c r="N6" s="9"/>
    </row>
    <row r="7" spans="1:14" x14ac:dyDescent="0.3">
      <c r="A7" s="2">
        <v>7006</v>
      </c>
      <c r="B7" s="3">
        <v>46098</v>
      </c>
      <c r="C7" s="2" t="s">
        <v>13</v>
      </c>
      <c r="D7" s="2" t="s">
        <v>10</v>
      </c>
      <c r="E7" s="2" t="s">
        <v>23</v>
      </c>
      <c r="F7" s="2">
        <v>1</v>
      </c>
      <c r="G7" s="5">
        <v>1200</v>
      </c>
      <c r="H7" s="13">
        <v>0</v>
      </c>
      <c r="I7" s="2" t="s">
        <v>16</v>
      </c>
      <c r="J7" s="9">
        <f t="shared" si="0"/>
        <v>0</v>
      </c>
      <c r="K7" s="9">
        <f t="shared" si="1"/>
        <v>1200</v>
      </c>
      <c r="L7" s="9">
        <f t="shared" si="2"/>
        <v>1200</v>
      </c>
      <c r="M7" s="9">
        <f t="shared" si="3"/>
        <v>1200</v>
      </c>
      <c r="N7" s="9"/>
    </row>
    <row r="8" spans="1:14" x14ac:dyDescent="0.3">
      <c r="A8" s="2">
        <v>7007</v>
      </c>
      <c r="B8" s="3">
        <v>46099</v>
      </c>
      <c r="C8" s="2" t="s">
        <v>17</v>
      </c>
      <c r="D8" s="2" t="s">
        <v>14</v>
      </c>
      <c r="E8" s="2" t="s">
        <v>24</v>
      </c>
      <c r="F8" s="2">
        <v>2</v>
      </c>
      <c r="G8" s="5">
        <v>1100</v>
      </c>
      <c r="H8" s="13">
        <v>15</v>
      </c>
      <c r="I8" s="2" t="s">
        <v>12</v>
      </c>
      <c r="J8" s="9">
        <f t="shared" si="0"/>
        <v>165</v>
      </c>
      <c r="K8" s="9">
        <f t="shared" si="1"/>
        <v>935</v>
      </c>
      <c r="L8" s="9">
        <f t="shared" si="2"/>
        <v>1870</v>
      </c>
      <c r="M8" s="9">
        <f t="shared" si="3"/>
        <v>2200</v>
      </c>
      <c r="N8" s="9"/>
    </row>
    <row r="9" spans="1:14" x14ac:dyDescent="0.3">
      <c r="A9" s="2">
        <v>7008</v>
      </c>
      <c r="B9" s="3">
        <v>46099</v>
      </c>
      <c r="C9" s="2" t="s">
        <v>21</v>
      </c>
      <c r="D9" s="2" t="s">
        <v>19</v>
      </c>
      <c r="E9" s="2" t="s">
        <v>11</v>
      </c>
      <c r="F9" s="2">
        <v>2</v>
      </c>
      <c r="G9" s="5">
        <v>600</v>
      </c>
      <c r="H9" s="13">
        <v>5</v>
      </c>
      <c r="I9" s="2" t="s">
        <v>16</v>
      </c>
      <c r="J9" s="9">
        <f t="shared" si="0"/>
        <v>30</v>
      </c>
      <c r="K9" s="9">
        <f t="shared" si="1"/>
        <v>570</v>
      </c>
      <c r="L9" s="9">
        <f t="shared" si="2"/>
        <v>1140</v>
      </c>
      <c r="M9" s="9">
        <f t="shared" si="3"/>
        <v>1200</v>
      </c>
      <c r="N9" s="9"/>
    </row>
    <row r="10" spans="1:14" x14ac:dyDescent="0.3">
      <c r="A10" s="2">
        <v>7009</v>
      </c>
      <c r="B10" s="3">
        <v>46100</v>
      </c>
      <c r="C10" s="2" t="s">
        <v>9</v>
      </c>
      <c r="D10" s="2" t="s">
        <v>10</v>
      </c>
      <c r="E10" s="2" t="s">
        <v>18</v>
      </c>
      <c r="F10" s="2">
        <v>1</v>
      </c>
      <c r="G10" s="5">
        <v>2100</v>
      </c>
      <c r="H10" s="13">
        <v>20</v>
      </c>
      <c r="I10" s="2" t="s">
        <v>12</v>
      </c>
      <c r="J10" s="9">
        <f t="shared" si="0"/>
        <v>420</v>
      </c>
      <c r="K10" s="9">
        <f t="shared" si="1"/>
        <v>1680</v>
      </c>
      <c r="L10" s="9">
        <f t="shared" si="2"/>
        <v>1680</v>
      </c>
      <c r="M10" s="9">
        <f t="shared" si="3"/>
        <v>2100</v>
      </c>
      <c r="N10" s="9"/>
    </row>
    <row r="11" spans="1:14" x14ac:dyDescent="0.3">
      <c r="A11" s="2">
        <v>7010</v>
      </c>
      <c r="B11" s="3">
        <v>46100</v>
      </c>
      <c r="C11" s="2" t="s">
        <v>13</v>
      </c>
      <c r="D11" s="2" t="s">
        <v>14</v>
      </c>
      <c r="E11" s="2" t="s">
        <v>15</v>
      </c>
      <c r="F11" s="2">
        <v>1</v>
      </c>
      <c r="G11" s="5">
        <v>1600</v>
      </c>
      <c r="H11" s="13">
        <v>10</v>
      </c>
      <c r="I11" s="2" t="s">
        <v>16</v>
      </c>
      <c r="J11" s="9">
        <f t="shared" si="0"/>
        <v>160</v>
      </c>
      <c r="K11" s="9">
        <f t="shared" si="1"/>
        <v>1440</v>
      </c>
      <c r="L11" s="9">
        <f t="shared" si="2"/>
        <v>1440</v>
      </c>
      <c r="M11" s="9">
        <f t="shared" si="3"/>
        <v>1600</v>
      </c>
      <c r="N1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Revenue by Category</vt:lpstr>
      <vt:lpstr>Revenue by Product</vt:lpstr>
      <vt:lpstr>Revenue by City</vt:lpstr>
      <vt:lpstr>Revenue by Customer Type</vt:lpstr>
      <vt:lpstr>Product by Quantity</vt:lpstr>
      <vt:lpstr>City by Quantity</vt:lpstr>
      <vt:lpstr>Revenue by Order Date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balgari</dc:creator>
  <cp:lastModifiedBy>swaroopa balgari</cp:lastModifiedBy>
  <dcterms:created xsi:type="dcterms:W3CDTF">2026-03-31T07:38:19Z</dcterms:created>
  <dcterms:modified xsi:type="dcterms:W3CDTF">2026-04-01T09:48:45Z</dcterms:modified>
</cp:coreProperties>
</file>